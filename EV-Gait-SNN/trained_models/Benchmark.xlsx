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rror\LMU\Semester 1\NeuroTUM\Munich Neuromorphic Hackathon\Simi\dev_tree\2025-nc-hackathon-event-id\EV-Gait-SNN\trained_models\"/>
    </mc:Choice>
  </mc:AlternateContent>
  <xr:revisionPtr revIDLastSave="0" documentId="13_ncr:1_{CADA8B5F-BECF-4507-9E68-6B8F5A36185C}" xr6:coauthVersionLast="47" xr6:coauthVersionMax="47" xr10:uidLastSave="{00000000-0000-0000-0000-000000000000}"/>
  <bookViews>
    <workbookView xWindow="-120" yWindow="-120" windowWidth="20730" windowHeight="11160" xr2:uid="{AA6DFFEA-0F08-457F-BB40-30DAAAE7E9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P5" i="1"/>
  <c r="O6" i="1"/>
  <c r="P6" i="1"/>
  <c r="O7" i="1"/>
  <c r="P7" i="1"/>
  <c r="O8" i="1"/>
  <c r="P8" i="1"/>
  <c r="O9" i="1"/>
  <c r="P9" i="1"/>
  <c r="O10" i="1"/>
  <c r="P10" i="1"/>
  <c r="O11" i="1"/>
  <c r="P11" i="1"/>
  <c r="P4" i="1"/>
  <c r="O4" i="1"/>
</calcChain>
</file>

<file path=xl/sharedStrings.xml><?xml version="1.0" encoding="utf-8"?>
<sst xmlns="http://schemas.openxmlformats.org/spreadsheetml/2006/main" count="40" uniqueCount="25">
  <si>
    <t>validation</t>
  </si>
  <si>
    <t>testing</t>
  </si>
  <si>
    <t>accuracy</t>
  </si>
  <si>
    <t>activation_sparsity</t>
  </si>
  <si>
    <t>epochs</t>
  </si>
  <si>
    <t>decay_inp</t>
  </si>
  <si>
    <t>number_neuron_updates</t>
  </si>
  <si>
    <t>MACs</t>
  </si>
  <si>
    <t>Dense</t>
  </si>
  <si>
    <t>ACs</t>
  </si>
  <si>
    <t>quantize</t>
  </si>
  <si>
    <t>Trained_plif_snn_2025-11-10T12.20.03.478367</t>
  </si>
  <si>
    <t>mean</t>
  </si>
  <si>
    <t>std</t>
  </si>
  <si>
    <t>synaptic_operations</t>
  </si>
  <si>
    <t>Trained_plif_snn_2025-11-10T17.51.30.138853</t>
  </si>
  <si>
    <t>inference_time (s)</t>
  </si>
  <si>
    <t>Trained_plif_snn_2025-11-11T09.28.09.920289</t>
  </si>
  <si>
    <t>quantized model hook not detected</t>
  </si>
  <si>
    <t>Trained_plif_snn_2025-11-11T21.20.31.977024</t>
  </si>
  <si>
    <t>inference_time (ms)</t>
  </si>
  <si>
    <t xml:space="preserve"> </t>
  </si>
  <si>
    <t>Live Infer</t>
  </si>
  <si>
    <t>Loihi2 Inf</t>
  </si>
  <si>
    <t>model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</si>
</sst>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169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right" vertical="center"/>
    </xf>
    <xf numFmtId="169" fontId="1" fillId="0" borderId="1" xfId="0" applyNumberFormat="1" applyFont="1" applyBorder="1" applyAlignment="1">
      <alignment horizontal="center" vertical="center"/>
    </xf>
    <xf numFmtId="16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4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1" fillId="0" borderId="1" xfId="0" applyNumberFormat="1" applyFont="1" applyBorder="1" applyAlignment="1">
      <alignment horizontal="center" vertical="center"/>
    </xf>
    <xf numFmtId="169" fontId="0" fillId="0" borderId="0" xfId="0" applyNumberFormat="1" applyBorder="1" applyAlignment="1">
      <alignment horizontal="center"/>
    </xf>
    <xf numFmtId="0" fontId="0" fillId="2" borderId="1" xfId="0" applyFill="1" applyBorder="1"/>
    <xf numFmtId="3" fontId="0" fillId="2" borderId="1" xfId="0" applyNumberFormat="1" applyFill="1" applyBorder="1" applyAlignment="1">
      <alignment horizontal="center"/>
    </xf>
    <xf numFmtId="169" fontId="0" fillId="3" borderId="1" xfId="0" applyNumberForma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65F8-7410-4D5E-A7A7-A30DD9678442}">
  <dimension ref="B2:U14"/>
  <sheetViews>
    <sheetView tabSelected="1" zoomScaleNormal="100" workbookViewId="0">
      <selection activeCell="T14" sqref="T14"/>
    </sheetView>
  </sheetViews>
  <sheetFormatPr defaultRowHeight="15"/>
  <cols>
    <col min="7" max="10" width="9.5703125" bestFit="1" customWidth="1"/>
    <col min="11" max="11" width="12.5703125" bestFit="1" customWidth="1"/>
    <col min="12" max="12" width="9.5703125" bestFit="1" customWidth="1"/>
    <col min="13" max="14" width="0" hidden="1" customWidth="1"/>
    <col min="15" max="16" width="9.5703125" bestFit="1" customWidth="1"/>
    <col min="17" max="17" width="11.7109375" bestFit="1" customWidth="1"/>
    <col min="18" max="18" width="13.85546875" bestFit="1" customWidth="1"/>
    <col min="19" max="19" width="12.7109375" bestFit="1" customWidth="1"/>
  </cols>
  <sheetData>
    <row r="2" spans="2:21">
      <c r="C2" s="1"/>
      <c r="D2" s="1"/>
      <c r="E2" s="1"/>
      <c r="F2" s="1"/>
      <c r="G2" s="8" t="s">
        <v>2</v>
      </c>
      <c r="H2" s="8"/>
      <c r="I2" s="8" t="s">
        <v>3</v>
      </c>
      <c r="J2" s="8"/>
      <c r="K2" s="8" t="s">
        <v>6</v>
      </c>
      <c r="L2" s="8"/>
      <c r="M2" s="8" t="s">
        <v>16</v>
      </c>
      <c r="N2" s="8"/>
      <c r="O2" s="8" t="s">
        <v>20</v>
      </c>
      <c r="P2" s="8"/>
      <c r="Q2" s="8" t="s">
        <v>14</v>
      </c>
      <c r="R2" s="8"/>
      <c r="S2" s="8"/>
    </row>
    <row r="3" spans="2:21">
      <c r="C3" s="2" t="s">
        <v>24</v>
      </c>
      <c r="D3" s="2" t="s">
        <v>4</v>
      </c>
      <c r="E3" s="2" t="s">
        <v>5</v>
      </c>
      <c r="F3" s="2" t="s">
        <v>10</v>
      </c>
      <c r="G3" s="2" t="s">
        <v>0</v>
      </c>
      <c r="H3" s="2" t="s">
        <v>1</v>
      </c>
      <c r="I3" s="2" t="s">
        <v>12</v>
      </c>
      <c r="J3" s="2" t="s">
        <v>13</v>
      </c>
      <c r="K3" s="2" t="s">
        <v>12</v>
      </c>
      <c r="L3" s="2" t="s">
        <v>13</v>
      </c>
      <c r="M3" s="2" t="s">
        <v>12</v>
      </c>
      <c r="N3" s="2" t="s">
        <v>13</v>
      </c>
      <c r="O3" s="2" t="s">
        <v>12</v>
      </c>
      <c r="P3" s="2" t="s">
        <v>13</v>
      </c>
      <c r="Q3" s="2" t="s">
        <v>7</v>
      </c>
      <c r="R3" s="2" t="s">
        <v>9</v>
      </c>
      <c r="S3" s="2" t="s">
        <v>8</v>
      </c>
    </row>
    <row r="4" spans="2:21">
      <c r="B4" s="15" t="s">
        <v>22</v>
      </c>
      <c r="C4" s="3" t="s">
        <v>11</v>
      </c>
      <c r="D4" s="2">
        <v>15</v>
      </c>
      <c r="E4" s="2" t="b">
        <v>1</v>
      </c>
      <c r="F4" s="2" t="b">
        <v>0</v>
      </c>
      <c r="G4" s="4">
        <v>1</v>
      </c>
      <c r="H4" s="17">
        <v>0.98899999999999999</v>
      </c>
      <c r="I4" s="4">
        <v>0.98350864019234496</v>
      </c>
      <c r="J4" s="4">
        <v>2.3808851353957598E-3</v>
      </c>
      <c r="K4" s="4">
        <v>24786204.063000001</v>
      </c>
      <c r="L4" s="4">
        <v>1043.2192967113799</v>
      </c>
      <c r="M4" s="4">
        <v>2.2652009725570601E-2</v>
      </c>
      <c r="N4" s="4">
        <v>1.14037149287424E-3</v>
      </c>
      <c r="O4" s="4">
        <f>M4*1000</f>
        <v>22.652009725570601</v>
      </c>
      <c r="P4" s="4">
        <f>N4*1000</f>
        <v>1.1403714928742399</v>
      </c>
      <c r="Q4" s="12">
        <v>1701766.504</v>
      </c>
      <c r="R4" s="16">
        <v>767212542.01999998</v>
      </c>
      <c r="S4" s="16">
        <v>2424275200</v>
      </c>
      <c r="T4" s="19"/>
      <c r="U4" s="20"/>
    </row>
    <row r="5" spans="2:21">
      <c r="B5" t="s">
        <v>21</v>
      </c>
      <c r="C5" s="3" t="s">
        <v>11</v>
      </c>
      <c r="D5" s="2">
        <v>15</v>
      </c>
      <c r="E5" s="2" t="b">
        <v>1</v>
      </c>
      <c r="F5" s="2" t="b">
        <v>1</v>
      </c>
      <c r="G5" s="4">
        <v>0.05</v>
      </c>
      <c r="H5" s="4">
        <v>0.05</v>
      </c>
      <c r="I5" s="9"/>
      <c r="J5" s="10"/>
      <c r="K5" s="10"/>
      <c r="L5" s="11"/>
      <c r="M5" s="4">
        <v>6.6622926712036096E-2</v>
      </c>
      <c r="N5" s="4">
        <v>1.42807394712079E-3</v>
      </c>
      <c r="O5" s="4">
        <f t="shared" ref="O5:O11" si="0">M5*1000</f>
        <v>66.62292671203609</v>
      </c>
      <c r="P5" s="4">
        <f t="shared" ref="P5:P11" si="1">N5*1000</f>
        <v>1.4280739471207899</v>
      </c>
      <c r="Q5" s="12">
        <v>1701766.504</v>
      </c>
      <c r="R5" s="12">
        <v>843239823.27999997</v>
      </c>
      <c r="S5" s="12">
        <v>2424275200</v>
      </c>
    </row>
    <row r="6" spans="2:21">
      <c r="B6" t="s">
        <v>21</v>
      </c>
      <c r="C6" s="3" t="s">
        <v>15</v>
      </c>
      <c r="D6" s="2">
        <v>15</v>
      </c>
      <c r="E6" s="2" t="b">
        <v>0</v>
      </c>
      <c r="F6" s="2" t="b">
        <v>0</v>
      </c>
      <c r="G6" s="4">
        <v>0.99399999999999999</v>
      </c>
      <c r="H6" s="4">
        <v>0.9345</v>
      </c>
      <c r="I6" s="4">
        <v>0.93226890515071303</v>
      </c>
      <c r="J6" s="4">
        <v>3.4213474418795901E-3</v>
      </c>
      <c r="K6" s="4">
        <v>24765348.583000001</v>
      </c>
      <c r="L6" s="4">
        <v>14829.4854507198</v>
      </c>
      <c r="M6" s="4">
        <v>2.2735010623931799E-2</v>
      </c>
      <c r="N6" s="4">
        <v>9.8490135755973209E-4</v>
      </c>
      <c r="O6" s="4">
        <f t="shared" si="0"/>
        <v>22.7350106239318</v>
      </c>
      <c r="P6" s="4">
        <f t="shared" si="1"/>
        <v>0.98490135755973207</v>
      </c>
      <c r="Q6" s="12">
        <v>1701766.504</v>
      </c>
      <c r="R6" s="12">
        <v>133103058.23199999</v>
      </c>
      <c r="S6" s="12">
        <v>2424275200</v>
      </c>
    </row>
    <row r="7" spans="2:21">
      <c r="B7" t="s">
        <v>21</v>
      </c>
      <c r="C7" s="3" t="s">
        <v>15</v>
      </c>
      <c r="D7" s="2">
        <v>15</v>
      </c>
      <c r="E7" s="2" t="b">
        <v>0</v>
      </c>
      <c r="F7" s="2" t="b">
        <v>1</v>
      </c>
      <c r="G7" s="4">
        <v>0.98599999999999999</v>
      </c>
      <c r="H7" s="4">
        <v>0.9355</v>
      </c>
      <c r="I7" s="9"/>
      <c r="J7" s="10"/>
      <c r="K7" s="10"/>
      <c r="L7" s="11"/>
      <c r="M7" s="4">
        <v>6.6786963462829502E-2</v>
      </c>
      <c r="N7" s="4">
        <v>8.9609997695183901E-4</v>
      </c>
      <c r="O7" s="4">
        <f t="shared" si="0"/>
        <v>66.786963462829505</v>
      </c>
      <c r="P7" s="4">
        <f t="shared" si="1"/>
        <v>0.89609997695183896</v>
      </c>
      <c r="Q7" s="12">
        <v>1701766.504</v>
      </c>
      <c r="R7" s="12">
        <v>120745739.108</v>
      </c>
      <c r="S7" s="12">
        <v>2424275200</v>
      </c>
    </row>
    <row r="8" spans="2:21">
      <c r="B8" t="s">
        <v>21</v>
      </c>
      <c r="C8" s="3" t="s">
        <v>17</v>
      </c>
      <c r="D8" s="2">
        <v>50</v>
      </c>
      <c r="E8" s="2" t="b">
        <v>0</v>
      </c>
      <c r="F8" s="2" t="b">
        <v>0</v>
      </c>
      <c r="G8" s="4">
        <v>1</v>
      </c>
      <c r="H8" s="4">
        <v>0.94750000000000001</v>
      </c>
      <c r="I8" s="4">
        <v>0.92274916559091202</v>
      </c>
      <c r="J8" s="4">
        <v>1.9452958517922E-3</v>
      </c>
      <c r="K8" s="4">
        <v>24788341.831999999</v>
      </c>
      <c r="L8" s="4">
        <v>464.161182969881</v>
      </c>
      <c r="M8" s="4">
        <v>2.2864108800887999E-2</v>
      </c>
      <c r="N8" s="4">
        <v>1.0256358784976401E-3</v>
      </c>
      <c r="O8" s="4">
        <f t="shared" si="0"/>
        <v>22.864108800887998</v>
      </c>
      <c r="P8" s="4">
        <f t="shared" si="1"/>
        <v>1.02563587849764</v>
      </c>
      <c r="Q8" s="12">
        <v>1701766.504</v>
      </c>
      <c r="R8" s="12">
        <v>136321445.96399999</v>
      </c>
      <c r="S8" s="12">
        <v>2424275200</v>
      </c>
    </row>
    <row r="9" spans="2:21">
      <c r="B9" t="s">
        <v>21</v>
      </c>
      <c r="C9" s="3" t="s">
        <v>17</v>
      </c>
      <c r="D9" s="2">
        <v>50</v>
      </c>
      <c r="E9" s="2" t="b">
        <v>0</v>
      </c>
      <c r="F9" s="2" t="b">
        <v>1</v>
      </c>
      <c r="G9" s="4">
        <v>0.99750000000000005</v>
      </c>
      <c r="H9" s="4">
        <v>0.94450000000000001</v>
      </c>
      <c r="I9" s="9"/>
      <c r="J9" s="10"/>
      <c r="K9" s="10"/>
      <c r="L9" s="11"/>
      <c r="M9" s="4">
        <v>6.6654772043228103E-2</v>
      </c>
      <c r="N9" s="4">
        <v>8.3392384503606096E-4</v>
      </c>
      <c r="O9" s="4">
        <f t="shared" si="0"/>
        <v>66.654772043228107</v>
      </c>
      <c r="P9" s="4">
        <f t="shared" si="1"/>
        <v>0.83392384503606098</v>
      </c>
      <c r="Q9" s="12">
        <v>1701766.504</v>
      </c>
      <c r="R9" s="12">
        <v>126093038.71600001</v>
      </c>
      <c r="S9" s="12">
        <v>2424275200</v>
      </c>
    </row>
    <row r="10" spans="2:21">
      <c r="B10" t="s">
        <v>21</v>
      </c>
      <c r="C10" s="5" t="s">
        <v>19</v>
      </c>
      <c r="D10" s="2">
        <v>50</v>
      </c>
      <c r="E10" s="2" t="b">
        <v>0</v>
      </c>
      <c r="F10" s="2" t="b">
        <v>0</v>
      </c>
      <c r="G10" s="6">
        <v>1</v>
      </c>
      <c r="H10" s="6">
        <v>0.91</v>
      </c>
      <c r="I10" s="6">
        <v>0.92620097282099301</v>
      </c>
      <c r="J10" s="6">
        <v>3.1796573348009702E-3</v>
      </c>
      <c r="K10" s="6">
        <v>25607950.191</v>
      </c>
      <c r="L10" s="6">
        <v>106.89179818395699</v>
      </c>
      <c r="M10" s="6">
        <v>2.2182739496231001E-2</v>
      </c>
      <c r="N10" s="6">
        <v>1.7329483184007101E-3</v>
      </c>
      <c r="O10" s="4">
        <f t="shared" si="0"/>
        <v>22.182739496231001</v>
      </c>
      <c r="P10" s="4">
        <f t="shared" si="1"/>
        <v>1.7329483184007102</v>
      </c>
      <c r="Q10" s="13">
        <v>1701766.504</v>
      </c>
      <c r="R10" s="13">
        <v>155506258.81200001</v>
      </c>
      <c r="S10" s="13">
        <v>2401337600</v>
      </c>
    </row>
    <row r="11" spans="2:21">
      <c r="B11" s="15" t="s">
        <v>23</v>
      </c>
      <c r="C11" s="5" t="s">
        <v>19</v>
      </c>
      <c r="D11" s="2">
        <v>50</v>
      </c>
      <c r="E11" s="2" t="b">
        <v>0</v>
      </c>
      <c r="F11" s="2" t="b">
        <v>1</v>
      </c>
      <c r="G11" s="6">
        <v>0.999</v>
      </c>
      <c r="H11" s="7">
        <v>0.90349999999999997</v>
      </c>
      <c r="I11" s="9"/>
      <c r="J11" s="10"/>
      <c r="K11" s="10"/>
      <c r="L11" s="11"/>
      <c r="M11" s="6">
        <v>6.7119318485259996E-2</v>
      </c>
      <c r="N11" s="6">
        <v>1.20360425946144E-3</v>
      </c>
      <c r="O11" s="4">
        <f t="shared" si="0"/>
        <v>67.119318485259996</v>
      </c>
      <c r="P11" s="4">
        <f t="shared" si="1"/>
        <v>1.20360425946144</v>
      </c>
      <c r="Q11" s="13">
        <v>1701766.504</v>
      </c>
      <c r="R11" s="18">
        <v>152935364.664</v>
      </c>
      <c r="S11" s="18">
        <v>2401337600</v>
      </c>
    </row>
    <row r="12" spans="2:21">
      <c r="I12" t="s">
        <v>18</v>
      </c>
    </row>
    <row r="14" spans="2:21">
      <c r="I14" s="14"/>
      <c r="J14" s="14"/>
      <c r="K14" s="14"/>
      <c r="L14" s="14"/>
    </row>
  </sheetData>
  <mergeCells count="11">
    <mergeCell ref="I5:L5"/>
    <mergeCell ref="I7:L7"/>
    <mergeCell ref="I9:L9"/>
    <mergeCell ref="I11:L11"/>
    <mergeCell ref="I14:L14"/>
    <mergeCell ref="I2:J2"/>
    <mergeCell ref="K2:L2"/>
    <mergeCell ref="Q2:S2"/>
    <mergeCell ref="G2:H2"/>
    <mergeCell ref="M2:N2"/>
    <mergeCell ref="O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Eraraya Morenzo Muten</dc:creator>
  <cp:lastModifiedBy>Eraraya Morenzo Muten</cp:lastModifiedBy>
  <dcterms:created xsi:type="dcterms:W3CDTF">2025-11-11T12:20:15Z</dcterms:created>
  <dcterms:modified xsi:type="dcterms:W3CDTF">2025-11-12T12:16:18Z</dcterms:modified>
</cp:coreProperties>
</file>